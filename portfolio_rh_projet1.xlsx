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C\Desktop\Reconversion\Excel\"/>
    </mc:Choice>
  </mc:AlternateContent>
  <xr:revisionPtr revIDLastSave="0" documentId="13_ncr:1_{EF28FB55-657E-4E89-95A7-28BC8F67A558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Dashboard" sheetId="3" r:id="rId1"/>
    <sheet name="Données" sheetId="1" r:id="rId2"/>
    <sheet name="Calculs" sheetId="2" r:id="rId3"/>
  </sheets>
  <definedNames>
    <definedName name="Segment_Genre">#N/A</definedName>
  </definedNames>
  <calcPr calcId="191029"/>
  <pivotCaches>
    <pivotCache cacheId="9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  <c r="E15" i="2"/>
  <c r="E16" i="2"/>
  <c r="E17" i="2"/>
  <c r="E14" i="2"/>
  <c r="C15" i="2"/>
  <c r="C16" i="2"/>
  <c r="C17" i="2"/>
  <c r="C14" i="2"/>
  <c r="B15" i="2"/>
  <c r="B16" i="2"/>
  <c r="B17" i="2"/>
  <c r="B14" i="2"/>
  <c r="B9" i="2"/>
  <c r="B8" i="2"/>
  <c r="K6" i="3" s="1"/>
  <c r="B6" i="2"/>
  <c r="B5" i="2"/>
  <c r="E6" i="3" s="1"/>
  <c r="B4" i="2"/>
  <c r="B6" i="3" s="1"/>
  <c r="D15" i="2" l="1"/>
  <c r="D16" i="2"/>
  <c r="D14" i="2"/>
  <c r="D17" i="2"/>
  <c r="B7" i="2"/>
  <c r="H6" i="3" s="1"/>
</calcChain>
</file>

<file path=xl/sharedStrings.xml><?xml version="1.0" encoding="utf-8"?>
<sst xmlns="http://schemas.openxmlformats.org/spreadsheetml/2006/main" count="187" uniqueCount="95">
  <si>
    <t>Marie</t>
  </si>
  <si>
    <t>Martin</t>
  </si>
  <si>
    <t>Marketing</t>
  </si>
  <si>
    <t>Manager</t>
  </si>
  <si>
    <t>Non</t>
  </si>
  <si>
    <t>Thomas</t>
  </si>
  <si>
    <t>Bernard</t>
  </si>
  <si>
    <t>RH</t>
  </si>
  <si>
    <t>Chargé RH</t>
  </si>
  <si>
    <t>Oui</t>
  </si>
  <si>
    <t>Démission</t>
  </si>
  <si>
    <t>Lucie</t>
  </si>
  <si>
    <t>Dubois</t>
  </si>
  <si>
    <t>Ventes</t>
  </si>
  <si>
    <t>Commercial</t>
  </si>
  <si>
    <t>Karim</t>
  </si>
  <si>
    <t>Benali</t>
  </si>
  <si>
    <t>Chargé Mkt</t>
  </si>
  <si>
    <t>Sophie</t>
  </si>
  <si>
    <t>Leroy</t>
  </si>
  <si>
    <t>Licenciement</t>
  </si>
  <si>
    <t>Nicolas</t>
  </si>
  <si>
    <t>Petit</t>
  </si>
  <si>
    <t>IT</t>
  </si>
  <si>
    <t>Développeur</t>
  </si>
  <si>
    <t>Amina</t>
  </si>
  <si>
    <t>Diallo</t>
  </si>
  <si>
    <t>Pierre</t>
  </si>
  <si>
    <t>Moreau</t>
  </si>
  <si>
    <t>Analyste</t>
  </si>
  <si>
    <t>Clara</t>
  </si>
  <si>
    <t>Simon</t>
  </si>
  <si>
    <t>Chargée Mkt</t>
  </si>
  <si>
    <t>Julien</t>
  </si>
  <si>
    <t>Laurent</t>
  </si>
  <si>
    <t>Sarah</t>
  </si>
  <si>
    <t>Michel</t>
  </si>
  <si>
    <t>Chargée RH</t>
  </si>
  <si>
    <t>David</t>
  </si>
  <si>
    <t>Rousseau</t>
  </si>
  <si>
    <t>Fatima</t>
  </si>
  <si>
    <t>Ndiaye</t>
  </si>
  <si>
    <t>Antoine</t>
  </si>
  <si>
    <t>Garnier</t>
  </si>
  <si>
    <t>Léa</t>
  </si>
  <si>
    <t>Fontaine</t>
  </si>
  <si>
    <t>Omar</t>
  </si>
  <si>
    <t>Traore</t>
  </si>
  <si>
    <t>Julie</t>
  </si>
  <si>
    <t>Blanc</t>
  </si>
  <si>
    <t>Alexis</t>
  </si>
  <si>
    <t>Dupont</t>
  </si>
  <si>
    <t>Nadia</t>
  </si>
  <si>
    <t>Caron</t>
  </si>
  <si>
    <t>Marc</t>
  </si>
  <si>
    <t>Lemaire</t>
  </si>
  <si>
    <t>CALCULS RH - PROJET PORTFOLIO</t>
  </si>
  <si>
    <t>KPI GÉNÉRAUX</t>
  </si>
  <si>
    <t>Taux de départ global</t>
  </si>
  <si>
    <t>Nombre de présents</t>
  </si>
  <si>
    <t>Nombre de départs</t>
  </si>
  <si>
    <t>Total employés</t>
  </si>
  <si>
    <t>Salaire moyen global</t>
  </si>
  <si>
    <t>Age moyen</t>
  </si>
  <si>
    <t>ID</t>
  </si>
  <si>
    <t>Prenom</t>
  </si>
  <si>
    <t>Nom</t>
  </si>
  <si>
    <t>Departement</t>
  </si>
  <si>
    <t>Poste</t>
  </si>
  <si>
    <t>Salaire</t>
  </si>
  <si>
    <t>Annee_embauche</t>
  </si>
  <si>
    <t>Mois_embauche</t>
  </si>
  <si>
    <t>Age</t>
  </si>
  <si>
    <t>Genre</t>
  </si>
  <si>
    <t>A_quitte</t>
  </si>
  <si>
    <t>Motif_depart</t>
  </si>
  <si>
    <t>ANALYSE PAR DEPARTEMENT</t>
  </si>
  <si>
    <t>Département</t>
  </si>
  <si>
    <t>Nb Employés</t>
  </si>
  <si>
    <t>Nb Départs</t>
  </si>
  <si>
    <t>Taux de départ</t>
  </si>
  <si>
    <t>Salaire moyen</t>
  </si>
  <si>
    <t>TABLEAU DE BORD RH</t>
  </si>
  <si>
    <t>Mise à jour</t>
  </si>
  <si>
    <t>TOTAL EMPLOYÉS</t>
  </si>
  <si>
    <t>DÉPARTS</t>
  </si>
  <si>
    <t>TAUX DE DÉPART</t>
  </si>
  <si>
    <t>SALAIRE MOYEN (€)</t>
  </si>
  <si>
    <t>Étiquettes de lignes</t>
  </si>
  <si>
    <t>Total général</t>
  </si>
  <si>
    <t>Moyenne de Salaire</t>
  </si>
  <si>
    <t>Femme</t>
  </si>
  <si>
    <t>Homme</t>
  </si>
  <si>
    <t>Étiquettes de colonnes</t>
  </si>
  <si>
    <t>Nombre de Prenom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</si>
</sst>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/>
    <xf numFmtId="1" fontId="0" fillId="0" borderId="0" xfId="0" applyNumberFormat="1"/>
    <xf numFmtId="0" fontId="3" fillId="2" borderId="0" xfId="0" applyFont="1" applyFill="1"/>
    <xf numFmtId="0" fontId="0" fillId="2" borderId="0" xfId="0" applyFill="1"/>
    <xf numFmtId="0" fontId="2" fillId="2" borderId="0" xfId="0" applyFont="1" applyFill="1" applyAlignment="1">
      <alignment horizontal="right"/>
    </xf>
    <xf numFmtId="14" fontId="2" fillId="2" borderId="0" xfId="0" applyNumberFormat="1" applyFont="1" applyFill="1" applyAlignment="1">
      <alignment horizontal="right"/>
    </xf>
    <xf numFmtId="0" fontId="0" fillId="3" borderId="5" xfId="0" applyFill="1" applyBorder="1"/>
    <xf numFmtId="0" fontId="0" fillId="3" borderId="6" xfId="0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9" fontId="5" fillId="4" borderId="3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0" fillId="4" borderId="5" xfId="0" applyFill="1" applyBorder="1"/>
    <xf numFmtId="0" fontId="0" fillId="4" borderId="6" xfId="0" applyFill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[portfolio_rh_projet1.xlsx]Dashboard!Tableau croisé dynamique2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/>
              <a:t>Salaire moyen par département (€)</a:t>
            </a:r>
            <a:endParaRPr lang="fr-F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Dashboard!$S$14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Dashboard!$R$15:$R$19</c:f>
              <c:strCache>
                <c:ptCount val="4"/>
                <c:pt idx="0">
                  <c:v>IT</c:v>
                </c:pt>
                <c:pt idx="1">
                  <c:v>Marketing</c:v>
                </c:pt>
                <c:pt idx="2">
                  <c:v>RH</c:v>
                </c:pt>
                <c:pt idx="3">
                  <c:v>Ventes</c:v>
                </c:pt>
              </c:strCache>
            </c:strRef>
          </c:cat>
          <c:val>
            <c:numRef>
              <c:f>Dashboard!$S$15:$S$19</c:f>
              <c:numCache>
                <c:formatCode>0</c:formatCode>
                <c:ptCount val="4"/>
                <c:pt idx="0">
                  <c:v>45800</c:v>
                </c:pt>
                <c:pt idx="1">
                  <c:v>35800</c:v>
                </c:pt>
                <c:pt idx="2">
                  <c:v>30375</c:v>
                </c:pt>
                <c:pt idx="3">
                  <c:v>37166.666666666664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C1-4321-A2BE-C3C0E6DD0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1781880"/>
        <c:axId val="651779000"/>
      </c:barChart>
      <c:catAx>
        <c:axId val="651781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779000"/>
        <c:crosses val="autoZero"/>
        <c:auto val="1"/>
        <c:lblAlgn val="ctr"/>
        <c:lblOffset val="100"/>
        <c:noMultiLvlLbl val="0"/>
      </c:catAx>
      <c:valAx>
        <c:axId val="65177900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65178188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[portfolio_rh_projet1.xlsx]Dashboard!Tableau croisé dynamique3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Taux de départ par département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Dashboard!$K$17:$K$18</c:f>
              <c:strCache>
                <c:ptCount val="1"/>
                <c:pt idx="0">
                  <c:v>Non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Dashboard!$J$19:$J$23</c:f>
              <c:strCache>
                <c:ptCount val="4"/>
                <c:pt idx="0">
                  <c:v>IT</c:v>
                </c:pt>
                <c:pt idx="1">
                  <c:v>Marketing</c:v>
                </c:pt>
                <c:pt idx="2">
                  <c:v>RH</c:v>
                </c:pt>
                <c:pt idx="3">
                  <c:v>Ventes</c:v>
                </c:pt>
              </c:strCache>
            </c:strRef>
          </c:cat>
          <c:val>
            <c:numRef>
              <c:f>Dashboard!$K$19:$K$23</c:f>
              <c:numCache>
                <c:formatCode>0.00%</c:formatCode>
                <c:ptCount val="4"/>
                <c:pt idx="0">
                  <c:v>0.6</c:v>
                </c:pt>
                <c:pt idx="1">
                  <c:v>0.8</c:v>
                </c:pt>
                <c:pt idx="2">
                  <c:v>0.25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8-4987-86A8-3F297D3F2B3D}"/>
            </c:ext>
          </c:extLst>
        </c:ser>
        <c:ser>
          <c:idx val="1"/>
          <c:order val="1"/>
          <c:tx>
            <c:strRef>
              <c:f>Dashboard!$L$17:$L$18</c:f>
              <c:strCache>
                <c:ptCount val="1"/>
                <c:pt idx="0">
                  <c:v>Oui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Dashboard!$J$19:$J$23</c:f>
              <c:strCache>
                <c:ptCount val="4"/>
                <c:pt idx="0">
                  <c:v>IT</c:v>
                </c:pt>
                <c:pt idx="1">
                  <c:v>Marketing</c:v>
                </c:pt>
                <c:pt idx="2">
                  <c:v>RH</c:v>
                </c:pt>
                <c:pt idx="3">
                  <c:v>Ventes</c:v>
                </c:pt>
              </c:strCache>
            </c:strRef>
          </c:cat>
          <c:val>
            <c:numRef>
              <c:f>Dashboard!$L$19:$L$23</c:f>
              <c:numCache>
                <c:formatCode>0.00%</c:formatCode>
                <c:ptCount val="4"/>
                <c:pt idx="0">
                  <c:v>0.4</c:v>
                </c:pt>
                <c:pt idx="1">
                  <c:v>0.2</c:v>
                </c:pt>
                <c:pt idx="2">
                  <c:v>0.75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E8-4987-86A8-3F297D3F2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3590984"/>
        <c:axId val="633588824"/>
      </c:barChart>
      <c:catAx>
        <c:axId val="633590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3588824"/>
        <c:crosses val="autoZero"/>
        <c:auto val="1"/>
        <c:lblAlgn val="ctr"/>
        <c:lblOffset val="100"/>
        <c:noMultiLvlLbl val="0"/>
      </c:catAx>
      <c:valAx>
        <c:axId val="633588824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33590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739140</xdr:colOff>
      <xdr:row>11</xdr:row>
      <xdr:rowOff>13335</xdr:rowOff>
    </xdr:from>
    <xdr:to>
      <xdr:col>15</xdr:col>
      <xdr:colOff>415290</xdr:colOff>
      <xdr:row>15</xdr:row>
      <xdr:rowOff>186690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Genre">
              <a:extLst>
                <a:ext uri="{FF2B5EF4-FFF2-40B4-BE49-F238E27FC236}">
                  <a16:creationId xmlns:a16="http://schemas.microsoft.com/office/drawing/2014/main" id="{134B9EE0-C358-3F9A-9FC8-78E695204D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r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21490" y="2480310"/>
              <a:ext cx="1836420" cy="9372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0</xdr:col>
      <xdr:colOff>621030</xdr:colOff>
      <xdr:row>11</xdr:row>
      <xdr:rowOff>121920</xdr:rowOff>
    </xdr:from>
    <xdr:to>
      <xdr:col>6</xdr:col>
      <xdr:colOff>621030</xdr:colOff>
      <xdr:row>26</xdr:row>
      <xdr:rowOff>7620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ECA2D22F-96CF-8EDA-E50A-115DFC37A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300990</xdr:colOff>
      <xdr:row>11</xdr:row>
      <xdr:rowOff>186690</xdr:rowOff>
    </xdr:from>
    <xdr:to>
      <xdr:col>13</xdr:col>
      <xdr:colOff>300990</xdr:colOff>
      <xdr:row>26</xdr:row>
      <xdr:rowOff>72390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4853E985-D4EF-6CBA-72B9-3086E9897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C" refreshedDate="46169.893967939817" createdVersion="8" refreshedVersion="8" minRefreshableVersion="3" recordCount="20" xr:uid="{1822C156-ADE0-43D9-AEB8-27A5F3D1D318}">
  <cacheSource type="worksheet">
    <worksheetSource name="RH_Data"/>
  </cacheSource>
  <cacheFields count="12">
    <cacheField name="ID" numFmtId="0">
      <sharedItems containsSemiMixedTypes="0" containsString="0" containsNumber="1" containsInteger="1" minValue="1" maxValue="20"/>
    </cacheField>
    <cacheField name="Prenom" numFmtId="0">
      <sharedItems/>
    </cacheField>
    <cacheField name="Nom" numFmtId="0">
      <sharedItems/>
    </cacheField>
    <cacheField name="Departement" numFmtId="0">
      <sharedItems count="4">
        <s v="Marketing"/>
        <s v="RH"/>
        <s v="Ventes"/>
        <s v="IT"/>
      </sharedItems>
    </cacheField>
    <cacheField name="Poste" numFmtId="0">
      <sharedItems/>
    </cacheField>
    <cacheField name="Salaire" numFmtId="0">
      <sharedItems containsSemiMixedTypes="0" containsString="0" containsNumber="1" containsInteger="1" minValue="27000" maxValue="48000"/>
    </cacheField>
    <cacheField name="Annee_embauche" numFmtId="0">
      <sharedItems containsSemiMixedTypes="0" containsString="0" containsNumber="1" containsInteger="1" minValue="2018" maxValue="2023"/>
    </cacheField>
    <cacheField name="Mois_embauche" numFmtId="0">
      <sharedItems containsSemiMixedTypes="0" containsString="0" containsNumber="1" containsInteger="1" minValue="1" maxValue="11"/>
    </cacheField>
    <cacheField name="Age" numFmtId="0">
      <sharedItems containsSemiMixedTypes="0" containsString="0" containsNumber="1" containsInteger="1" minValue="24" maxValue="42"/>
    </cacheField>
    <cacheField name="Genre" numFmtId="0">
      <sharedItems count="2">
        <s v="F"/>
        <s v="H"/>
      </sharedItems>
    </cacheField>
    <cacheField name="A_quitte" numFmtId="0">
      <sharedItems count="2">
        <s v="Non"/>
        <s v="Oui"/>
      </sharedItems>
    </cacheField>
    <cacheField name="Motif_depart" numFmtId="0">
      <sharedItems containsBlank="1"/>
    </cacheField>
  </cacheFields>
  <extLst>
    <ext xmlns:x14="http://schemas.microsoft.com/office/spreadsheetml/2009/9/main" uri="{725AE2AE-9491-48be-B2B4-4EB974FC3084}">
      <x14:pivotCacheDefinition pivotCacheId="200464676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s v="Marie"/>
    <s v="Martin"/>
    <x v="0"/>
    <s v="Manager"/>
    <n v="42000"/>
    <n v="2019"/>
    <n v="3"/>
    <n v="34"/>
    <x v="0"/>
    <x v="0"/>
    <m/>
  </r>
  <r>
    <n v="2"/>
    <s v="Thomas"/>
    <s v="Bernard"/>
    <x v="1"/>
    <s v="Chargé RH"/>
    <n v="28000"/>
    <n v="2020"/>
    <n v="6"/>
    <n v="28"/>
    <x v="1"/>
    <x v="1"/>
    <s v="Démission"/>
  </r>
  <r>
    <n v="3"/>
    <s v="Lucie"/>
    <s v="Dubois"/>
    <x v="2"/>
    <s v="Commercial"/>
    <n v="35000"/>
    <n v="2021"/>
    <n v="1"/>
    <n v="31"/>
    <x v="0"/>
    <x v="0"/>
    <m/>
  </r>
  <r>
    <n v="4"/>
    <s v="Karim"/>
    <s v="Benali"/>
    <x v="0"/>
    <s v="Chargé Mkt"/>
    <n v="31000"/>
    <n v="2022"/>
    <n v="9"/>
    <n v="26"/>
    <x v="1"/>
    <x v="0"/>
    <m/>
  </r>
  <r>
    <n v="5"/>
    <s v="Sophie"/>
    <s v="Leroy"/>
    <x v="1"/>
    <s v="Manager"/>
    <n v="38000"/>
    <n v="2018"/>
    <n v="4"/>
    <n v="40"/>
    <x v="0"/>
    <x v="1"/>
    <s v="Licenciement"/>
  </r>
  <r>
    <n v="6"/>
    <s v="Nicolas"/>
    <s v="Petit"/>
    <x v="3"/>
    <s v="Développeur"/>
    <n v="45000"/>
    <n v="2020"/>
    <n v="2"/>
    <n v="33"/>
    <x v="1"/>
    <x v="0"/>
    <m/>
  </r>
  <r>
    <n v="7"/>
    <s v="Amina"/>
    <s v="Diallo"/>
    <x v="2"/>
    <s v="Commercial"/>
    <n v="33000"/>
    <n v="2023"/>
    <n v="7"/>
    <n v="25"/>
    <x v="0"/>
    <x v="0"/>
    <m/>
  </r>
  <r>
    <n v="8"/>
    <s v="Pierre"/>
    <s v="Moreau"/>
    <x v="3"/>
    <s v="Analyste"/>
    <n v="48000"/>
    <n v="2019"/>
    <n v="11"/>
    <n v="37"/>
    <x v="1"/>
    <x v="1"/>
    <s v="Démission"/>
  </r>
  <r>
    <n v="9"/>
    <s v="Clara"/>
    <s v="Simon"/>
    <x v="0"/>
    <s v="Chargée Mkt"/>
    <n v="30000"/>
    <n v="2022"/>
    <n v="5"/>
    <n v="27"/>
    <x v="0"/>
    <x v="0"/>
    <m/>
  </r>
  <r>
    <n v="10"/>
    <s v="Julien"/>
    <s v="Laurent"/>
    <x v="2"/>
    <s v="Manager"/>
    <n v="42000"/>
    <n v="2021"/>
    <n v="8"/>
    <n v="35"/>
    <x v="1"/>
    <x v="0"/>
    <m/>
  </r>
  <r>
    <n v="11"/>
    <s v="Sarah"/>
    <s v="Michel"/>
    <x v="1"/>
    <s v="Chargée RH"/>
    <n v="27000"/>
    <n v="2023"/>
    <n v="1"/>
    <n v="24"/>
    <x v="0"/>
    <x v="0"/>
    <m/>
  </r>
  <r>
    <n v="12"/>
    <s v="David"/>
    <s v="Rousseau"/>
    <x v="3"/>
    <s v="Développeur"/>
    <n v="46000"/>
    <n v="2020"/>
    <n v="3"/>
    <n v="31"/>
    <x v="1"/>
    <x v="0"/>
    <m/>
  </r>
  <r>
    <n v="13"/>
    <s v="Fatima"/>
    <s v="Ndiaye"/>
    <x v="0"/>
    <s v="Manager"/>
    <n v="44000"/>
    <n v="2018"/>
    <n v="6"/>
    <n v="42"/>
    <x v="0"/>
    <x v="1"/>
    <s v="Démission"/>
  </r>
  <r>
    <n v="14"/>
    <s v="Antoine"/>
    <s v="Garnier"/>
    <x v="2"/>
    <s v="Commercial"/>
    <n v="34000"/>
    <n v="2022"/>
    <n v="10"/>
    <n v="29"/>
    <x v="1"/>
    <x v="0"/>
    <m/>
  </r>
  <r>
    <n v="15"/>
    <s v="Léa"/>
    <s v="Fontaine"/>
    <x v="3"/>
    <s v="Analyste"/>
    <n v="43000"/>
    <n v="2021"/>
    <n v="4"/>
    <n v="30"/>
    <x v="0"/>
    <x v="0"/>
    <m/>
  </r>
  <r>
    <n v="16"/>
    <s v="Omar"/>
    <s v="Traore"/>
    <x v="1"/>
    <s v="Chargé RH"/>
    <n v="28500"/>
    <n v="2019"/>
    <n v="8"/>
    <n v="36"/>
    <x v="1"/>
    <x v="1"/>
    <s v="Démission"/>
  </r>
  <r>
    <n v="17"/>
    <s v="Julie"/>
    <s v="Blanc"/>
    <x v="2"/>
    <s v="Manager"/>
    <n v="44000"/>
    <n v="2020"/>
    <n v="2"/>
    <n v="38"/>
    <x v="0"/>
    <x v="0"/>
    <m/>
  </r>
  <r>
    <n v="18"/>
    <s v="Alexis"/>
    <s v="Dupont"/>
    <x v="0"/>
    <s v="Chargé Mkt"/>
    <n v="32000"/>
    <n v="2023"/>
    <n v="5"/>
    <n v="25"/>
    <x v="1"/>
    <x v="0"/>
    <m/>
  </r>
  <r>
    <n v="19"/>
    <s v="Nadia"/>
    <s v="Caron"/>
    <x v="3"/>
    <s v="Développeur"/>
    <n v="47000"/>
    <n v="2019"/>
    <n v="9"/>
    <n v="34"/>
    <x v="0"/>
    <x v="1"/>
    <s v="Licenciement"/>
  </r>
  <r>
    <n v="20"/>
    <s v="Marc"/>
    <s v="Lemaire"/>
    <x v="2"/>
    <s v="Commercial"/>
    <n v="35000"/>
    <n v="2022"/>
    <n v="3"/>
    <n v="27"/>
    <x v="1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6A8C2C-0656-4760-94EB-556AD310FF18}" name="Tableau croisé dynamique3" cacheId="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J17:M23" firstHeaderRow="1" firstDataRow="2" firstDataCol="1"/>
  <pivotFields count="12">
    <pivotField showAll="0"/>
    <pivotField dataField="1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Nombre de Prenom" fld="1" subtotal="count" showDataAs="percentOfRow" baseField="3" baseItem="0" numFmtId="1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CEA076-C615-4EB4-B64E-74FF27E295D9}" name="Tableau croisé dynamique2" cacheId="9" applyNumberFormats="0" applyBorderFormats="0" applyFontFormats="0" applyPatternFormats="0" applyAlignmentFormats="0" applyWidthHeightFormats="1" dataCaption="Valeurs" updatedVersion="8" minRefreshableVersion="3" itemPrintTitles="1" createdVersion="8" indent="0" outline="1" outlineData="1" multipleFieldFilters="0" chartFormat="2">
  <location ref="R14:S19" firstHeaderRow="1" firstDataRow="1" firstDataCol="1"/>
  <pivotFields count="12"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oyenne de Salaire" fld="5" subtotal="average" baseField="3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E57A5-02C7-48F0-B374-DABCB8FD91A9}" name="Tableau croisé dynamique1" cacheId="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R21:S26" firstHeaderRow="1" firstDataRow="1" firstDataCol="1"/>
  <pivotFields count="12"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oyenne de Salaire" fld="5" subtotal="average" baseField="3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Genre" xr10:uid="{119222D5-0F3B-4A28-95E7-009FE0A4A74D}" sourceName="Genre">
  <pivotTables>
    <pivotTable tabId="3" name="Tableau croisé dynamique1"/>
    <pivotTable tabId="3" name="Tableau croisé dynamique2"/>
    <pivotTable tabId="3" name="Tableau croisé dynamique3"/>
  </pivotTables>
  <data>
    <tabular pivotCacheId="2004646765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re" xr10:uid="{9E714A66-0D6A-47FC-A3FB-28721DD110D1}" cache="Segment_Genre" caption="Genre" style="SlicerStyleLight5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296CAF-BDF8-484B-B0CE-62DEA940CBEF}" name="RH_Data" displayName="RH_Data" ref="A1:L21" totalsRowShown="0" headerRowDxfId="0" dataDxfId="1">
  <autoFilter ref="A1:L21" xr:uid="{31296CAF-BDF8-484B-B0CE-62DEA940CBEF}"/>
  <tableColumns count="12">
    <tableColumn id="1" xr3:uid="{83118605-4AB6-4E0F-A1FB-E33B9E244D2F}" name="ID" dataDxfId="13"/>
    <tableColumn id="2" xr3:uid="{9BFE58E7-91DA-4050-8F92-B85ED5EF1DB7}" name="Prenom" dataDxfId="12"/>
    <tableColumn id="3" xr3:uid="{43F0AE41-DB44-4C22-9480-F49B41CA18A0}" name="Nom" dataDxfId="11"/>
    <tableColumn id="4" xr3:uid="{48BF94C1-767C-4CA6-BA01-84F1D2861252}" name="Departement" dataDxfId="10"/>
    <tableColumn id="5" xr3:uid="{780A44A1-767B-4E51-B4D1-BDFFED47647B}" name="Poste" dataDxfId="9"/>
    <tableColumn id="6" xr3:uid="{C777EEAE-F2A6-428B-B3F0-5BA520BF56F0}" name="Salaire" dataDxfId="8"/>
    <tableColumn id="7" xr3:uid="{B1EBF40E-F14B-43FE-B136-644A64FFC840}" name="Annee_embauche" dataDxfId="7"/>
    <tableColumn id="8" xr3:uid="{CC238B69-CF76-4524-A10F-1B320D4FC829}" name="Mois_embauche" dataDxfId="6"/>
    <tableColumn id="9" xr3:uid="{F983C234-74CF-457F-B4CF-1F39C9E38D7E}" name="Age" dataDxfId="5"/>
    <tableColumn id="10" xr3:uid="{A71D115C-EBB4-4A67-9CD8-9CD0F433C81A}" name="Genre" dataDxfId="4"/>
    <tableColumn id="11" xr3:uid="{13320290-AC76-4966-AA71-AAD2FAE20D72}" name="A_quitte" dataDxfId="3"/>
    <tableColumn id="12" xr3:uid="{A3BA1CB6-1076-49CD-84E9-B55E95B29252}" name="Motif_depar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5C7C1-D0E6-4A61-8253-B855E85E32E0}">
  <sheetPr>
    <tabColor rgb="FF002060"/>
  </sheetPr>
  <dimension ref="B2:S26"/>
  <sheetViews>
    <sheetView showGridLines="0" showRowColHeaders="0" tabSelected="1" workbookViewId="0">
      <selection activeCell="N7" sqref="N7"/>
    </sheetView>
  </sheetViews>
  <sheetFormatPr baseColWidth="10" defaultRowHeight="15" x14ac:dyDescent="0.25"/>
  <cols>
    <col min="10" max="10" width="21" bestFit="1" customWidth="1"/>
    <col min="11" max="11" width="23.85546875" bestFit="1" customWidth="1"/>
    <col min="12" max="12" width="7.28515625" bestFit="1" customWidth="1"/>
    <col min="13" max="13" width="12.5703125" bestFit="1" customWidth="1"/>
    <col min="15" max="16" width="21" bestFit="1" customWidth="1"/>
    <col min="17" max="17" width="23.85546875" bestFit="1" customWidth="1"/>
    <col min="18" max="18" width="21" bestFit="1" customWidth="1"/>
    <col min="19" max="19" width="18.85546875" bestFit="1" customWidth="1"/>
  </cols>
  <sheetData>
    <row r="2" spans="2:19" ht="26.25" x14ac:dyDescent="0.4">
      <c r="B2" s="6" t="s">
        <v>82</v>
      </c>
      <c r="C2" s="7"/>
      <c r="D2" s="7"/>
      <c r="E2" s="7"/>
      <c r="F2" s="7"/>
      <c r="G2" s="7"/>
      <c r="H2" s="8" t="s">
        <v>83</v>
      </c>
      <c r="I2" s="9">
        <f ca="1">TODAY()</f>
        <v>46170</v>
      </c>
      <c r="J2" s="7"/>
      <c r="K2" s="7"/>
    </row>
    <row r="3" spans="2:19" x14ac:dyDescent="0.25">
      <c r="B3" s="7"/>
      <c r="C3" s="7"/>
      <c r="D3" s="7"/>
      <c r="E3" s="7"/>
      <c r="F3" s="7"/>
      <c r="G3" s="7"/>
      <c r="H3" s="7"/>
      <c r="I3" s="7"/>
      <c r="J3" s="7"/>
      <c r="K3" s="7"/>
    </row>
    <row r="4" spans="2:19" ht="15.75" thickBot="1" x14ac:dyDescent="0.3"/>
    <row r="5" spans="2:19" x14ac:dyDescent="0.25">
      <c r="B5" s="12" t="s">
        <v>84</v>
      </c>
      <c r="C5" s="13"/>
      <c r="E5" s="12" t="s">
        <v>85</v>
      </c>
      <c r="F5" s="13"/>
      <c r="H5" s="16" t="s">
        <v>86</v>
      </c>
      <c r="I5" s="17"/>
      <c r="K5" s="12" t="s">
        <v>87</v>
      </c>
      <c r="L5" s="13"/>
    </row>
    <row r="6" spans="2:19" ht="31.5" x14ac:dyDescent="0.25">
      <c r="B6" s="14">
        <f>Calculs!B4</f>
        <v>20</v>
      </c>
      <c r="C6" s="15"/>
      <c r="E6" s="14">
        <f>Calculs!B5</f>
        <v>6</v>
      </c>
      <c r="F6" s="15"/>
      <c r="H6" s="18">
        <f>Calculs!B7</f>
        <v>0.3</v>
      </c>
      <c r="I6" s="19"/>
      <c r="K6" s="14">
        <f>Calculs!B8</f>
        <v>37625</v>
      </c>
      <c r="L6" s="15"/>
    </row>
    <row r="7" spans="2:19" ht="15.75" thickBot="1" x14ac:dyDescent="0.3">
      <c r="B7" s="10"/>
      <c r="C7" s="11"/>
      <c r="E7" s="10"/>
      <c r="F7" s="11"/>
      <c r="H7" s="20"/>
      <c r="I7" s="21"/>
      <c r="K7" s="10"/>
      <c r="L7" s="11"/>
    </row>
    <row r="14" spans="2:19" x14ac:dyDescent="0.25">
      <c r="R14" s="22" t="s">
        <v>88</v>
      </c>
      <c r="S14" t="s">
        <v>90</v>
      </c>
    </row>
    <row r="15" spans="2:19" x14ac:dyDescent="0.25">
      <c r="R15" s="23" t="s">
        <v>23</v>
      </c>
      <c r="S15" s="5">
        <v>45800</v>
      </c>
    </row>
    <row r="16" spans="2:19" x14ac:dyDescent="0.25">
      <c r="R16" s="23" t="s">
        <v>2</v>
      </c>
      <c r="S16" s="5">
        <v>35800</v>
      </c>
    </row>
    <row r="17" spans="10:19" x14ac:dyDescent="0.25">
      <c r="J17" s="22" t="s">
        <v>94</v>
      </c>
      <c r="K17" s="22" t="s">
        <v>93</v>
      </c>
      <c r="R17" s="23" t="s">
        <v>7</v>
      </c>
      <c r="S17" s="5">
        <v>30375</v>
      </c>
    </row>
    <row r="18" spans="10:19" x14ac:dyDescent="0.25">
      <c r="J18" s="22" t="s">
        <v>88</v>
      </c>
      <c r="K18" t="s">
        <v>4</v>
      </c>
      <c r="L18" t="s">
        <v>9</v>
      </c>
      <c r="M18" t="s">
        <v>89</v>
      </c>
      <c r="R18" s="23" t="s">
        <v>13</v>
      </c>
      <c r="S18" s="5">
        <v>37166.666666666664</v>
      </c>
    </row>
    <row r="19" spans="10:19" x14ac:dyDescent="0.25">
      <c r="J19" s="23" t="s">
        <v>23</v>
      </c>
      <c r="K19" s="24">
        <v>0.6</v>
      </c>
      <c r="L19" s="24">
        <v>0.4</v>
      </c>
      <c r="M19" s="24">
        <v>1</v>
      </c>
      <c r="R19" s="23" t="s">
        <v>89</v>
      </c>
      <c r="S19" s="5">
        <v>37625</v>
      </c>
    </row>
    <row r="20" spans="10:19" x14ac:dyDescent="0.25">
      <c r="J20" s="23" t="s">
        <v>2</v>
      </c>
      <c r="K20" s="24">
        <v>0.8</v>
      </c>
      <c r="L20" s="24">
        <v>0.2</v>
      </c>
      <c r="M20" s="24">
        <v>1</v>
      </c>
    </row>
    <row r="21" spans="10:19" x14ac:dyDescent="0.25">
      <c r="J21" s="23" t="s">
        <v>7</v>
      </c>
      <c r="K21" s="24">
        <v>0.25</v>
      </c>
      <c r="L21" s="24">
        <v>0.75</v>
      </c>
      <c r="M21" s="24">
        <v>1</v>
      </c>
      <c r="R21" s="22" t="s">
        <v>88</v>
      </c>
      <c r="S21" t="s">
        <v>90</v>
      </c>
    </row>
    <row r="22" spans="10:19" x14ac:dyDescent="0.25">
      <c r="J22" s="23" t="s">
        <v>13</v>
      </c>
      <c r="K22" s="24">
        <v>1</v>
      </c>
      <c r="L22" s="24">
        <v>0</v>
      </c>
      <c r="M22" s="24">
        <v>1</v>
      </c>
      <c r="R22" s="23" t="s">
        <v>23</v>
      </c>
      <c r="S22" s="5">
        <v>45800</v>
      </c>
    </row>
    <row r="23" spans="10:19" x14ac:dyDescent="0.25">
      <c r="J23" s="23" t="s">
        <v>89</v>
      </c>
      <c r="K23" s="24">
        <v>0.7</v>
      </c>
      <c r="L23" s="24">
        <v>0.3</v>
      </c>
      <c r="M23" s="24">
        <v>1</v>
      </c>
      <c r="R23" s="23" t="s">
        <v>2</v>
      </c>
      <c r="S23" s="5">
        <v>35800</v>
      </c>
    </row>
    <row r="24" spans="10:19" x14ac:dyDescent="0.25">
      <c r="R24" s="23" t="s">
        <v>7</v>
      </c>
      <c r="S24" s="5">
        <v>30375</v>
      </c>
    </row>
    <row r="25" spans="10:19" x14ac:dyDescent="0.25">
      <c r="R25" s="23" t="s">
        <v>13</v>
      </c>
      <c r="S25" s="5">
        <v>37166.666666666664</v>
      </c>
    </row>
    <row r="26" spans="10:19" x14ac:dyDescent="0.25">
      <c r="R26" s="23" t="s">
        <v>89</v>
      </c>
      <c r="S26" s="5">
        <v>37625</v>
      </c>
    </row>
  </sheetData>
  <mergeCells count="8">
    <mergeCell ref="K5:L5"/>
    <mergeCell ref="K6:L6"/>
    <mergeCell ref="B5:C5"/>
    <mergeCell ref="B6:C6"/>
    <mergeCell ref="E5:F5"/>
    <mergeCell ref="E6:F6"/>
    <mergeCell ref="H5:I5"/>
    <mergeCell ref="H6:I6"/>
  </mergeCells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opLeftCell="A2" workbookViewId="0">
      <selection activeCell="E7" sqref="E7"/>
    </sheetView>
  </sheetViews>
  <sheetFormatPr baseColWidth="10" defaultRowHeight="15" x14ac:dyDescent="0.25"/>
  <cols>
    <col min="4" max="4" width="14.5703125" customWidth="1"/>
    <col min="7" max="7" width="18.85546875" customWidth="1"/>
    <col min="8" max="8" width="17.42578125" customWidth="1"/>
    <col min="12" max="12" width="14.5703125" customWidth="1"/>
  </cols>
  <sheetData>
    <row r="1" spans="1:12" x14ac:dyDescent="0.25">
      <c r="A1" s="2" t="s">
        <v>64</v>
      </c>
      <c r="B1" s="2" t="s">
        <v>65</v>
      </c>
      <c r="C1" s="2" t="s">
        <v>66</v>
      </c>
      <c r="D1" s="2" t="s">
        <v>67</v>
      </c>
      <c r="E1" s="2" t="s">
        <v>68</v>
      </c>
      <c r="F1" s="2" t="s">
        <v>69</v>
      </c>
      <c r="G1" s="2" t="s">
        <v>70</v>
      </c>
      <c r="H1" s="2" t="s">
        <v>71</v>
      </c>
      <c r="I1" s="2" t="s">
        <v>72</v>
      </c>
      <c r="J1" s="2" t="s">
        <v>73</v>
      </c>
      <c r="K1" s="2" t="s">
        <v>74</v>
      </c>
      <c r="L1" s="2" t="s">
        <v>75</v>
      </c>
    </row>
    <row r="2" spans="1:12" x14ac:dyDescent="0.25">
      <c r="A2" s="3">
        <v>1</v>
      </c>
      <c r="B2" s="3" t="s">
        <v>0</v>
      </c>
      <c r="C2" s="3" t="s">
        <v>1</v>
      </c>
      <c r="D2" s="3" t="s">
        <v>2</v>
      </c>
      <c r="E2" s="3" t="s">
        <v>3</v>
      </c>
      <c r="F2" s="3">
        <v>42000</v>
      </c>
      <c r="G2" s="3">
        <v>2019</v>
      </c>
      <c r="H2" s="3">
        <v>3</v>
      </c>
      <c r="I2" s="3">
        <v>34</v>
      </c>
      <c r="J2" s="3" t="s">
        <v>91</v>
      </c>
      <c r="K2" s="3" t="s">
        <v>4</v>
      </c>
      <c r="L2" s="3"/>
    </row>
    <row r="3" spans="1:12" x14ac:dyDescent="0.25">
      <c r="A3" s="3">
        <v>2</v>
      </c>
      <c r="B3" s="3" t="s">
        <v>5</v>
      </c>
      <c r="C3" s="3" t="s">
        <v>6</v>
      </c>
      <c r="D3" s="3" t="s">
        <v>7</v>
      </c>
      <c r="E3" s="3" t="s">
        <v>8</v>
      </c>
      <c r="F3" s="3">
        <v>28000</v>
      </c>
      <c r="G3" s="3">
        <v>2020</v>
      </c>
      <c r="H3" s="3">
        <v>6</v>
      </c>
      <c r="I3" s="3">
        <v>28</v>
      </c>
      <c r="J3" s="3" t="s">
        <v>92</v>
      </c>
      <c r="K3" s="3" t="s">
        <v>9</v>
      </c>
      <c r="L3" s="3" t="s">
        <v>10</v>
      </c>
    </row>
    <row r="4" spans="1:12" ht="30" x14ac:dyDescent="0.25">
      <c r="A4" s="3">
        <v>3</v>
      </c>
      <c r="B4" s="3" t="s">
        <v>11</v>
      </c>
      <c r="C4" s="3" t="s">
        <v>12</v>
      </c>
      <c r="D4" s="3" t="s">
        <v>13</v>
      </c>
      <c r="E4" s="3" t="s">
        <v>14</v>
      </c>
      <c r="F4" s="3">
        <v>35000</v>
      </c>
      <c r="G4" s="3">
        <v>2021</v>
      </c>
      <c r="H4" s="3">
        <v>1</v>
      </c>
      <c r="I4" s="3">
        <v>31</v>
      </c>
      <c r="J4" s="3" t="s">
        <v>91</v>
      </c>
      <c r="K4" s="3" t="s">
        <v>4</v>
      </c>
      <c r="L4" s="3"/>
    </row>
    <row r="5" spans="1:12" x14ac:dyDescent="0.25">
      <c r="A5" s="3">
        <v>4</v>
      </c>
      <c r="B5" s="3" t="s">
        <v>15</v>
      </c>
      <c r="C5" s="3" t="s">
        <v>16</v>
      </c>
      <c r="D5" s="3" t="s">
        <v>2</v>
      </c>
      <c r="E5" s="3" t="s">
        <v>17</v>
      </c>
      <c r="F5" s="3">
        <v>31000</v>
      </c>
      <c r="G5" s="3">
        <v>2022</v>
      </c>
      <c r="H5" s="3">
        <v>9</v>
      </c>
      <c r="I5" s="3">
        <v>26</v>
      </c>
      <c r="J5" s="3" t="s">
        <v>92</v>
      </c>
      <c r="K5" s="3" t="s">
        <v>4</v>
      </c>
      <c r="L5" s="3"/>
    </row>
    <row r="6" spans="1:12" x14ac:dyDescent="0.25">
      <c r="A6" s="3">
        <v>5</v>
      </c>
      <c r="B6" s="3" t="s">
        <v>18</v>
      </c>
      <c r="C6" s="3" t="s">
        <v>19</v>
      </c>
      <c r="D6" s="3" t="s">
        <v>7</v>
      </c>
      <c r="E6" s="3" t="s">
        <v>3</v>
      </c>
      <c r="F6" s="3">
        <v>38000</v>
      </c>
      <c r="G6" s="3">
        <v>2018</v>
      </c>
      <c r="H6" s="3">
        <v>4</v>
      </c>
      <c r="I6" s="3">
        <v>40</v>
      </c>
      <c r="J6" s="3" t="s">
        <v>91</v>
      </c>
      <c r="K6" s="3" t="s">
        <v>9</v>
      </c>
      <c r="L6" s="3" t="s">
        <v>20</v>
      </c>
    </row>
    <row r="7" spans="1:12" ht="30" x14ac:dyDescent="0.25">
      <c r="A7" s="3">
        <v>6</v>
      </c>
      <c r="B7" s="3" t="s">
        <v>21</v>
      </c>
      <c r="C7" s="3" t="s">
        <v>22</v>
      </c>
      <c r="D7" s="3" t="s">
        <v>23</v>
      </c>
      <c r="E7" s="3" t="s">
        <v>24</v>
      </c>
      <c r="F7" s="3">
        <v>45000</v>
      </c>
      <c r="G7" s="3">
        <v>2020</v>
      </c>
      <c r="H7" s="3">
        <v>2</v>
      </c>
      <c r="I7" s="3">
        <v>33</v>
      </c>
      <c r="J7" s="3" t="s">
        <v>92</v>
      </c>
      <c r="K7" s="3" t="s">
        <v>4</v>
      </c>
      <c r="L7" s="3"/>
    </row>
    <row r="8" spans="1:12" ht="30" x14ac:dyDescent="0.25">
      <c r="A8" s="3">
        <v>7</v>
      </c>
      <c r="B8" s="3" t="s">
        <v>25</v>
      </c>
      <c r="C8" s="3" t="s">
        <v>26</v>
      </c>
      <c r="D8" s="3" t="s">
        <v>13</v>
      </c>
      <c r="E8" s="3" t="s">
        <v>14</v>
      </c>
      <c r="F8" s="3">
        <v>33000</v>
      </c>
      <c r="G8" s="3">
        <v>2023</v>
      </c>
      <c r="H8" s="3">
        <v>7</v>
      </c>
      <c r="I8" s="3">
        <v>25</v>
      </c>
      <c r="J8" s="3" t="s">
        <v>91</v>
      </c>
      <c r="K8" s="3" t="s">
        <v>4</v>
      </c>
      <c r="L8" s="3"/>
    </row>
    <row r="9" spans="1:12" x14ac:dyDescent="0.25">
      <c r="A9" s="3">
        <v>8</v>
      </c>
      <c r="B9" s="3" t="s">
        <v>27</v>
      </c>
      <c r="C9" s="3" t="s">
        <v>28</v>
      </c>
      <c r="D9" s="3" t="s">
        <v>23</v>
      </c>
      <c r="E9" s="3" t="s">
        <v>29</v>
      </c>
      <c r="F9" s="3">
        <v>48000</v>
      </c>
      <c r="G9" s="3">
        <v>2019</v>
      </c>
      <c r="H9" s="3">
        <v>11</v>
      </c>
      <c r="I9" s="3">
        <v>37</v>
      </c>
      <c r="J9" s="3" t="s">
        <v>92</v>
      </c>
      <c r="K9" s="3" t="s">
        <v>9</v>
      </c>
      <c r="L9" s="3" t="s">
        <v>10</v>
      </c>
    </row>
    <row r="10" spans="1:12" ht="30" x14ac:dyDescent="0.25">
      <c r="A10" s="3">
        <v>9</v>
      </c>
      <c r="B10" s="3" t="s">
        <v>30</v>
      </c>
      <c r="C10" s="3" t="s">
        <v>31</v>
      </c>
      <c r="D10" s="3" t="s">
        <v>2</v>
      </c>
      <c r="E10" s="3" t="s">
        <v>32</v>
      </c>
      <c r="F10" s="3">
        <v>30000</v>
      </c>
      <c r="G10" s="3">
        <v>2022</v>
      </c>
      <c r="H10" s="3">
        <v>5</v>
      </c>
      <c r="I10" s="3">
        <v>27</v>
      </c>
      <c r="J10" s="3" t="s">
        <v>91</v>
      </c>
      <c r="K10" s="3" t="s">
        <v>4</v>
      </c>
      <c r="L10" s="3"/>
    </row>
    <row r="11" spans="1:12" x14ac:dyDescent="0.25">
      <c r="A11" s="3">
        <v>10</v>
      </c>
      <c r="B11" s="3" t="s">
        <v>33</v>
      </c>
      <c r="C11" s="3" t="s">
        <v>34</v>
      </c>
      <c r="D11" s="3" t="s">
        <v>13</v>
      </c>
      <c r="E11" s="3" t="s">
        <v>3</v>
      </c>
      <c r="F11" s="3">
        <v>42000</v>
      </c>
      <c r="G11" s="3">
        <v>2021</v>
      </c>
      <c r="H11" s="3">
        <v>8</v>
      </c>
      <c r="I11" s="3">
        <v>35</v>
      </c>
      <c r="J11" s="3" t="s">
        <v>92</v>
      </c>
      <c r="K11" s="3" t="s">
        <v>4</v>
      </c>
      <c r="L11" s="3"/>
    </row>
    <row r="12" spans="1:12" x14ac:dyDescent="0.25">
      <c r="A12" s="3">
        <v>11</v>
      </c>
      <c r="B12" s="3" t="s">
        <v>35</v>
      </c>
      <c r="C12" s="3" t="s">
        <v>36</v>
      </c>
      <c r="D12" s="3" t="s">
        <v>7</v>
      </c>
      <c r="E12" s="3" t="s">
        <v>37</v>
      </c>
      <c r="F12" s="3">
        <v>27000</v>
      </c>
      <c r="G12" s="3">
        <v>2023</v>
      </c>
      <c r="H12" s="3">
        <v>1</v>
      </c>
      <c r="I12" s="3">
        <v>24</v>
      </c>
      <c r="J12" s="3" t="s">
        <v>91</v>
      </c>
      <c r="K12" s="3" t="s">
        <v>4</v>
      </c>
      <c r="L12" s="3"/>
    </row>
    <row r="13" spans="1:12" ht="30" x14ac:dyDescent="0.25">
      <c r="A13" s="3">
        <v>12</v>
      </c>
      <c r="B13" s="3" t="s">
        <v>38</v>
      </c>
      <c r="C13" s="3" t="s">
        <v>39</v>
      </c>
      <c r="D13" s="3" t="s">
        <v>23</v>
      </c>
      <c r="E13" s="3" t="s">
        <v>24</v>
      </c>
      <c r="F13" s="3">
        <v>46000</v>
      </c>
      <c r="G13" s="3">
        <v>2020</v>
      </c>
      <c r="H13" s="3">
        <v>3</v>
      </c>
      <c r="I13" s="3">
        <v>31</v>
      </c>
      <c r="J13" s="3" t="s">
        <v>92</v>
      </c>
      <c r="K13" s="3" t="s">
        <v>4</v>
      </c>
      <c r="L13" s="3"/>
    </row>
    <row r="14" spans="1:12" x14ac:dyDescent="0.25">
      <c r="A14" s="3">
        <v>13</v>
      </c>
      <c r="B14" s="3" t="s">
        <v>40</v>
      </c>
      <c r="C14" s="3" t="s">
        <v>41</v>
      </c>
      <c r="D14" s="3" t="s">
        <v>2</v>
      </c>
      <c r="E14" s="3" t="s">
        <v>3</v>
      </c>
      <c r="F14" s="3">
        <v>44000</v>
      </c>
      <c r="G14" s="3">
        <v>2018</v>
      </c>
      <c r="H14" s="3">
        <v>6</v>
      </c>
      <c r="I14" s="3">
        <v>42</v>
      </c>
      <c r="J14" s="3" t="s">
        <v>91</v>
      </c>
      <c r="K14" s="3" t="s">
        <v>9</v>
      </c>
      <c r="L14" s="3" t="s">
        <v>10</v>
      </c>
    </row>
    <row r="15" spans="1:12" ht="30" x14ac:dyDescent="0.25">
      <c r="A15" s="3">
        <v>14</v>
      </c>
      <c r="B15" s="3" t="s">
        <v>42</v>
      </c>
      <c r="C15" s="3" t="s">
        <v>43</v>
      </c>
      <c r="D15" s="3" t="s">
        <v>13</v>
      </c>
      <c r="E15" s="3" t="s">
        <v>14</v>
      </c>
      <c r="F15" s="3">
        <v>34000</v>
      </c>
      <c r="G15" s="3">
        <v>2022</v>
      </c>
      <c r="H15" s="3">
        <v>10</v>
      </c>
      <c r="I15" s="3">
        <v>29</v>
      </c>
      <c r="J15" s="3" t="s">
        <v>92</v>
      </c>
      <c r="K15" s="3" t="s">
        <v>4</v>
      </c>
      <c r="L15" s="3"/>
    </row>
    <row r="16" spans="1:12" x14ac:dyDescent="0.25">
      <c r="A16" s="3">
        <v>15</v>
      </c>
      <c r="B16" s="3" t="s">
        <v>44</v>
      </c>
      <c r="C16" s="3" t="s">
        <v>45</v>
      </c>
      <c r="D16" s="3" t="s">
        <v>23</v>
      </c>
      <c r="E16" s="3" t="s">
        <v>29</v>
      </c>
      <c r="F16" s="3">
        <v>43000</v>
      </c>
      <c r="G16" s="3">
        <v>2021</v>
      </c>
      <c r="H16" s="3">
        <v>4</v>
      </c>
      <c r="I16" s="3">
        <v>30</v>
      </c>
      <c r="J16" s="3" t="s">
        <v>91</v>
      </c>
      <c r="K16" s="3" t="s">
        <v>4</v>
      </c>
      <c r="L16" s="3"/>
    </row>
    <row r="17" spans="1:12" x14ac:dyDescent="0.25">
      <c r="A17" s="3">
        <v>16</v>
      </c>
      <c r="B17" s="3" t="s">
        <v>46</v>
      </c>
      <c r="C17" s="3" t="s">
        <v>47</v>
      </c>
      <c r="D17" s="3" t="s">
        <v>7</v>
      </c>
      <c r="E17" s="3" t="s">
        <v>8</v>
      </c>
      <c r="F17" s="3">
        <v>28500</v>
      </c>
      <c r="G17" s="3">
        <v>2019</v>
      </c>
      <c r="H17" s="3">
        <v>8</v>
      </c>
      <c r="I17" s="3">
        <v>36</v>
      </c>
      <c r="J17" s="3" t="s">
        <v>92</v>
      </c>
      <c r="K17" s="3" t="s">
        <v>9</v>
      </c>
      <c r="L17" s="3" t="s">
        <v>10</v>
      </c>
    </row>
    <row r="18" spans="1:12" x14ac:dyDescent="0.25">
      <c r="A18" s="3">
        <v>17</v>
      </c>
      <c r="B18" s="3" t="s">
        <v>48</v>
      </c>
      <c r="C18" s="3" t="s">
        <v>49</v>
      </c>
      <c r="D18" s="3" t="s">
        <v>13</v>
      </c>
      <c r="E18" s="3" t="s">
        <v>3</v>
      </c>
      <c r="F18" s="3">
        <v>44000</v>
      </c>
      <c r="G18" s="3">
        <v>2020</v>
      </c>
      <c r="H18" s="3">
        <v>2</v>
      </c>
      <c r="I18" s="3">
        <v>38</v>
      </c>
      <c r="J18" s="3" t="s">
        <v>91</v>
      </c>
      <c r="K18" s="3" t="s">
        <v>4</v>
      </c>
      <c r="L18" s="3"/>
    </row>
    <row r="19" spans="1:12" x14ac:dyDescent="0.25">
      <c r="A19" s="3">
        <v>18</v>
      </c>
      <c r="B19" s="3" t="s">
        <v>50</v>
      </c>
      <c r="C19" s="3" t="s">
        <v>51</v>
      </c>
      <c r="D19" s="3" t="s">
        <v>2</v>
      </c>
      <c r="E19" s="3" t="s">
        <v>17</v>
      </c>
      <c r="F19" s="3">
        <v>32000</v>
      </c>
      <c r="G19" s="3">
        <v>2023</v>
      </c>
      <c r="H19" s="3">
        <v>5</v>
      </c>
      <c r="I19" s="3">
        <v>25</v>
      </c>
      <c r="J19" s="3" t="s">
        <v>92</v>
      </c>
      <c r="K19" s="3" t="s">
        <v>4</v>
      </c>
      <c r="L19" s="3"/>
    </row>
    <row r="20" spans="1:12" ht="30" x14ac:dyDescent="0.25">
      <c r="A20" s="3">
        <v>19</v>
      </c>
      <c r="B20" s="3" t="s">
        <v>52</v>
      </c>
      <c r="C20" s="3" t="s">
        <v>53</v>
      </c>
      <c r="D20" s="3" t="s">
        <v>23</v>
      </c>
      <c r="E20" s="3" t="s">
        <v>24</v>
      </c>
      <c r="F20" s="3">
        <v>47000</v>
      </c>
      <c r="G20" s="3">
        <v>2019</v>
      </c>
      <c r="H20" s="3">
        <v>9</v>
      </c>
      <c r="I20" s="3">
        <v>34</v>
      </c>
      <c r="J20" s="3" t="s">
        <v>91</v>
      </c>
      <c r="K20" s="3" t="s">
        <v>9</v>
      </c>
      <c r="L20" s="3" t="s">
        <v>20</v>
      </c>
    </row>
    <row r="21" spans="1:12" ht="30" x14ac:dyDescent="0.25">
      <c r="A21" s="3">
        <v>20</v>
      </c>
      <c r="B21" s="3" t="s">
        <v>54</v>
      </c>
      <c r="C21" s="3" t="s">
        <v>55</v>
      </c>
      <c r="D21" s="3" t="s">
        <v>13</v>
      </c>
      <c r="E21" s="3" t="s">
        <v>14</v>
      </c>
      <c r="F21" s="3">
        <v>35000</v>
      </c>
      <c r="G21" s="3">
        <v>2022</v>
      </c>
      <c r="H21" s="3">
        <v>3</v>
      </c>
      <c r="I21" s="3">
        <v>27</v>
      </c>
      <c r="J21" s="3" t="s">
        <v>92</v>
      </c>
      <c r="K21" s="3" t="s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A5479-BFEB-4C2F-A947-A7F42FCC9526}">
  <dimension ref="A1:E17"/>
  <sheetViews>
    <sheetView workbookViewId="0">
      <selection activeCell="D13" activeCellId="1" sqref="A13:A17 D13:D17"/>
    </sheetView>
  </sheetViews>
  <sheetFormatPr baseColWidth="10" defaultRowHeight="15" x14ac:dyDescent="0.25"/>
  <cols>
    <col min="1" max="1" width="33.5703125" customWidth="1"/>
    <col min="2" max="2" width="17.7109375" customWidth="1"/>
    <col min="3" max="3" width="14.140625" customWidth="1"/>
    <col min="4" max="4" width="21.85546875" customWidth="1"/>
  </cols>
  <sheetData>
    <row r="1" spans="1:5" x14ac:dyDescent="0.25">
      <c r="A1" s="1" t="s">
        <v>56</v>
      </c>
    </row>
    <row r="3" spans="1:5" x14ac:dyDescent="0.25">
      <c r="A3" s="1" t="s">
        <v>57</v>
      </c>
    </row>
    <row r="4" spans="1:5" x14ac:dyDescent="0.25">
      <c r="A4" t="s">
        <v>61</v>
      </c>
      <c r="B4">
        <f>COUNTA(RH_Data[Prenom])</f>
        <v>20</v>
      </c>
    </row>
    <row r="5" spans="1:5" x14ac:dyDescent="0.25">
      <c r="A5" t="s">
        <v>60</v>
      </c>
      <c r="B5">
        <f>COUNTIF(RH_Data[A_quitte],"Oui")</f>
        <v>6</v>
      </c>
    </row>
    <row r="6" spans="1:5" x14ac:dyDescent="0.25">
      <c r="A6" t="s">
        <v>59</v>
      </c>
      <c r="B6">
        <f>COUNTIF(RH_Data[A_quitte],"Non")</f>
        <v>14</v>
      </c>
    </row>
    <row r="7" spans="1:5" x14ac:dyDescent="0.25">
      <c r="A7" t="s">
        <v>58</v>
      </c>
      <c r="B7" s="4">
        <f>B5/B4</f>
        <v>0.3</v>
      </c>
    </row>
    <row r="8" spans="1:5" x14ac:dyDescent="0.25">
      <c r="A8" t="s">
        <v>62</v>
      </c>
      <c r="B8">
        <f>AVERAGE(RH_Data[Salaire])</f>
        <v>37625</v>
      </c>
    </row>
    <row r="9" spans="1:5" x14ac:dyDescent="0.25">
      <c r="A9" t="s">
        <v>63</v>
      </c>
      <c r="B9">
        <f>AVERAGE(RH_Data[Age])</f>
        <v>31.6</v>
      </c>
    </row>
    <row r="12" spans="1:5" x14ac:dyDescent="0.25">
      <c r="A12" s="1" t="s">
        <v>76</v>
      </c>
    </row>
    <row r="13" spans="1:5" x14ac:dyDescent="0.25">
      <c r="A13" t="s">
        <v>77</v>
      </c>
      <c r="B13" t="s">
        <v>78</v>
      </c>
      <c r="C13" t="s">
        <v>79</v>
      </c>
      <c r="D13" t="s">
        <v>80</v>
      </c>
      <c r="E13" t="s">
        <v>81</v>
      </c>
    </row>
    <row r="14" spans="1:5" x14ac:dyDescent="0.25">
      <c r="A14" t="s">
        <v>23</v>
      </c>
      <c r="B14">
        <f>COUNTIF(RH_Data[Departement],A14)</f>
        <v>5</v>
      </c>
      <c r="C14">
        <f>COUNTIFS(RH_Data[Departement],A14,RH_Data[A_quitte],"Oui")</f>
        <v>2</v>
      </c>
      <c r="D14" s="4">
        <f>C14/B14</f>
        <v>0.4</v>
      </c>
      <c r="E14">
        <f>AVERAGEIF(RH_Data[Departement],A14,RH_Data[Salaire])</f>
        <v>45800</v>
      </c>
    </row>
    <row r="15" spans="1:5" x14ac:dyDescent="0.25">
      <c r="A15" t="s">
        <v>2</v>
      </c>
      <c r="B15">
        <f>COUNTIF(RH_Data[Departement],A15)</f>
        <v>5</v>
      </c>
      <c r="C15">
        <f>COUNTIFS(RH_Data[Departement],A15,RH_Data[A_quitte],"Oui")</f>
        <v>1</v>
      </c>
      <c r="D15" s="4">
        <f t="shared" ref="D15:D17" si="0">C15/B15</f>
        <v>0.2</v>
      </c>
      <c r="E15">
        <f>AVERAGEIF(RH_Data[Departement],A15,RH_Data[Salaire])</f>
        <v>35800</v>
      </c>
    </row>
    <row r="16" spans="1:5" x14ac:dyDescent="0.25">
      <c r="A16" t="s">
        <v>7</v>
      </c>
      <c r="B16">
        <f>COUNTIF(RH_Data[Departement],A16)</f>
        <v>4</v>
      </c>
      <c r="C16">
        <f>COUNTIFS(RH_Data[Departement],A16,RH_Data[A_quitte],"Oui")</f>
        <v>3</v>
      </c>
      <c r="D16" s="4">
        <f t="shared" si="0"/>
        <v>0.75</v>
      </c>
      <c r="E16">
        <f>AVERAGEIF(RH_Data[Departement],A16,RH_Data[Salaire])</f>
        <v>30375</v>
      </c>
    </row>
    <row r="17" spans="1:5" x14ac:dyDescent="0.25">
      <c r="A17" t="s">
        <v>13</v>
      </c>
      <c r="B17">
        <f>COUNTIF(RH_Data[Departement],A17)</f>
        <v>6</v>
      </c>
      <c r="C17">
        <f>COUNTIFS(RH_Data[Departement],A17,RH_Data[A_quitte],"Oui")</f>
        <v>0</v>
      </c>
      <c r="D17">
        <f t="shared" si="0"/>
        <v>0</v>
      </c>
      <c r="E17" s="5">
        <f>AVERAGEIF(RH_Data[Departement],A17,RH_Data[Salaire])</f>
        <v>37166.666666666664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Dashboard</vt:lpstr>
      <vt:lpstr>Données</vt:lpstr>
      <vt:lpstr>Calculs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</dc:creator>
  <cp:lastModifiedBy>Rc Theug</cp:lastModifiedBy>
  <dcterms:created xsi:type="dcterms:W3CDTF">2015-06-05T18:17:20Z</dcterms:created>
  <dcterms:modified xsi:type="dcterms:W3CDTF">2026-05-28T18:35:40Z</dcterms:modified>
</cp:coreProperties>
</file>